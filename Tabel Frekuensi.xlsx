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9F6198B-3AF0-4E2D-8E84-B50AAADF00A1}" xr6:coauthVersionLast="47" xr6:coauthVersionMax="47" xr10:uidLastSave="{00000000-0000-0000-0000-000000000000}"/>
  <bookViews>
    <workbookView xWindow="-90" yWindow="0" windowWidth="9780" windowHeight="10170" xr2:uid="{9E35BA34-21B4-451D-BF2D-6EBA5FCAAABC}"/>
  </bookViews>
  <sheets>
    <sheet name="AV" sheetId="1" r:id="rId1"/>
    <sheet name="AT" sheetId="2" r:id="rId2"/>
    <sheet name="DC" sheetId="3" r:id="rId3"/>
    <sheet name="SN" sheetId="4" r:id="rId4"/>
    <sheet name="PBC" sheetId="5" r:id="rId5"/>
    <sheet name="P" sheetId="6" r:id="rId6"/>
    <sheet name="PI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H3" i="6" s="1"/>
  <c r="G7" i="7"/>
  <c r="H7" i="7" s="1"/>
  <c r="G6" i="7"/>
  <c r="H6" i="7" s="1"/>
  <c r="G5" i="7"/>
  <c r="H5" i="7" s="1"/>
  <c r="G4" i="7"/>
  <c r="H4" i="7" s="1"/>
  <c r="G3" i="7"/>
  <c r="H3" i="7" s="1"/>
  <c r="G5" i="6"/>
  <c r="H5" i="6" s="1"/>
  <c r="G4" i="6"/>
  <c r="H4" i="6" s="1"/>
  <c r="G7" i="5"/>
  <c r="H7" i="5" s="1"/>
  <c r="G6" i="5"/>
  <c r="H6" i="5" s="1"/>
  <c r="G5" i="5"/>
  <c r="H5" i="5" s="1"/>
  <c r="G4" i="5"/>
  <c r="H4" i="5" s="1"/>
  <c r="G3" i="5"/>
  <c r="H3" i="5" s="1"/>
  <c r="G7" i="4"/>
  <c r="H7" i="4" s="1"/>
  <c r="G6" i="4"/>
  <c r="H6" i="4" s="1"/>
  <c r="G5" i="4"/>
  <c r="H5" i="4" s="1"/>
  <c r="G4" i="4"/>
  <c r="H4" i="4" s="1"/>
  <c r="G3" i="4"/>
  <c r="H3" i="4" s="1"/>
  <c r="G7" i="3"/>
  <c r="H7" i="3" s="1"/>
  <c r="G6" i="3"/>
  <c r="H6" i="3" s="1"/>
  <c r="G5" i="3"/>
  <c r="H5" i="3" s="1"/>
  <c r="G4" i="3"/>
  <c r="H4" i="3" s="1"/>
  <c r="G3" i="3"/>
  <c r="H3" i="3" s="1"/>
  <c r="H7" i="2"/>
  <c r="G7" i="2"/>
  <c r="G6" i="2"/>
  <c r="H6" i="2" s="1"/>
  <c r="G5" i="2"/>
  <c r="H5" i="2" s="1"/>
  <c r="G4" i="2"/>
  <c r="H4" i="2" s="1"/>
  <c r="G3" i="2"/>
  <c r="H3" i="2" s="1"/>
  <c r="G4" i="1"/>
  <c r="H4" i="1" s="1"/>
  <c r="G3" i="1"/>
  <c r="H3" i="1" s="1"/>
</calcChain>
</file>

<file path=xl/sharedStrings.xml><?xml version="1.0" encoding="utf-8"?>
<sst xmlns="http://schemas.openxmlformats.org/spreadsheetml/2006/main" count="58" uniqueCount="34">
  <si>
    <t>AV1</t>
  </si>
  <si>
    <t>AV2</t>
  </si>
  <si>
    <t>AT1</t>
  </si>
  <si>
    <t>AT2</t>
  </si>
  <si>
    <t>AT3</t>
  </si>
  <si>
    <t>AT4</t>
  </si>
  <si>
    <t>AT5</t>
  </si>
  <si>
    <t>DC1</t>
  </si>
  <si>
    <t>DC2</t>
  </si>
  <si>
    <t>DC3</t>
  </si>
  <si>
    <t>DC4</t>
  </si>
  <si>
    <t>DC5</t>
  </si>
  <si>
    <t>SN1</t>
  </si>
  <si>
    <t>SN2</t>
  </si>
  <si>
    <t>SN3</t>
  </si>
  <si>
    <t>SN4</t>
  </si>
  <si>
    <t>SN5</t>
  </si>
  <si>
    <t>PBC1</t>
  </si>
  <si>
    <t>PBC2</t>
  </si>
  <si>
    <t>PBC3</t>
  </si>
  <si>
    <t>PBC4</t>
  </si>
  <si>
    <t>PBC5</t>
  </si>
  <si>
    <t>P1</t>
  </si>
  <si>
    <t>P2</t>
  </si>
  <si>
    <t>P3</t>
  </si>
  <si>
    <t>PI1</t>
  </si>
  <si>
    <t>PI2</t>
  </si>
  <si>
    <t>PI3</t>
  </si>
  <si>
    <t>PI4</t>
  </si>
  <si>
    <t>PI5</t>
  </si>
  <si>
    <t>Total</t>
  </si>
  <si>
    <t>Rata-rata</t>
  </si>
  <si>
    <t>Jawaban Responden</t>
  </si>
  <si>
    <t>Butir Pertanyaan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</si>
</sst>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0"/>
    <numFmt numFmtId="170" formatCode="0.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left" vertical="top" wrapText="1"/>
    </xf>
    <xf numFmtId="168" fontId="1" fillId="0" borderId="1" xfId="1" applyNumberFormat="1" applyFont="1" applyBorder="1" applyAlignment="1">
      <alignment horizontal="right" vertical="top"/>
    </xf>
    <xf numFmtId="168" fontId="1" fillId="0" borderId="1" xfId="1" applyNumberFormat="1" applyFont="1" applyBorder="1"/>
    <xf numFmtId="0" fontId="1" fillId="0" borderId="1" xfId="1" applyNumberFormat="1" applyFont="1" applyBorder="1" applyAlignment="1">
      <alignment horizontal="center" vertical="center"/>
    </xf>
    <xf numFmtId="170" fontId="1" fillId="0" borderId="1" xfId="0" applyNumberFormat="1" applyFont="1" applyBorder="1"/>
    <xf numFmtId="0" fontId="1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1" xfId="1" xr:uid="{AFA82742-640C-48DB-BFA9-47577D0EAC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4C25-BF96-4F0A-8D72-92D994403830}">
  <dimension ref="A1:H4"/>
  <sheetViews>
    <sheetView tabSelected="1" workbookViewId="0">
      <selection activeCell="H4" sqref="H4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0</v>
      </c>
      <c r="B3" s="2">
        <v>0</v>
      </c>
      <c r="C3" s="2">
        <v>3</v>
      </c>
      <c r="D3" s="2">
        <v>14</v>
      </c>
      <c r="E3" s="2">
        <v>93</v>
      </c>
      <c r="F3" s="2">
        <v>56</v>
      </c>
      <c r="G3" s="3">
        <f>SUM(B3:F3)</f>
        <v>166</v>
      </c>
      <c r="H3" s="5">
        <f>(B3*$B$2+C3*$C$2+D3*$D$2+E3*$E$2+F3*$F$2)/G3</f>
        <v>4.2168674698795181</v>
      </c>
    </row>
    <row r="4" spans="1:8" x14ac:dyDescent="0.35">
      <c r="A4" s="1" t="s">
        <v>1</v>
      </c>
      <c r="B4" s="2">
        <v>0</v>
      </c>
      <c r="C4" s="2">
        <v>6</v>
      </c>
      <c r="D4" s="2">
        <v>16</v>
      </c>
      <c r="E4" s="2">
        <v>80</v>
      </c>
      <c r="F4" s="2">
        <v>64</v>
      </c>
      <c r="G4" s="3">
        <f t="shared" ref="G4" si="0">SUM(B4:F4)</f>
        <v>166</v>
      </c>
      <c r="H4" s="5">
        <f>(B4*$B$2+C4*$C$2+D4*$D$2+E4*$E$2+F4*$F$2)/G4</f>
        <v>4.2168674698795181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4171-9663-488E-9F23-FA1277D32F02}">
  <dimension ref="A1:H7"/>
  <sheetViews>
    <sheetView workbookViewId="0">
      <selection activeCell="H3" sqref="H3:H7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2</v>
      </c>
      <c r="B3" s="2">
        <v>0</v>
      </c>
      <c r="C3" s="2">
        <v>2</v>
      </c>
      <c r="D3" s="2">
        <v>22</v>
      </c>
      <c r="E3" s="2">
        <v>83</v>
      </c>
      <c r="F3" s="2">
        <v>59</v>
      </c>
      <c r="G3" s="3">
        <f t="shared" ref="G3:G7" si="0">SUM(B3:F3)</f>
        <v>166</v>
      </c>
      <c r="H3" s="5">
        <f>(B3*$B$2+C3*$C$2+D3*$D$2+E3*$E$2+F3*$F$2)/G3</f>
        <v>4.1987951807228914</v>
      </c>
    </row>
    <row r="4" spans="1:8" x14ac:dyDescent="0.35">
      <c r="A4" s="1" t="s">
        <v>3</v>
      </c>
      <c r="B4" s="2">
        <v>1</v>
      </c>
      <c r="C4" s="2">
        <v>2</v>
      </c>
      <c r="D4" s="2">
        <v>12</v>
      </c>
      <c r="E4" s="2">
        <v>73</v>
      </c>
      <c r="F4" s="2">
        <v>78</v>
      </c>
      <c r="G4" s="3">
        <f t="shared" si="0"/>
        <v>166</v>
      </c>
      <c r="H4" s="5">
        <f>(B4*$B$2+C4*$C$2+D4*$D$2+E4*$E$2+F4*$F$2)/G4</f>
        <v>4.3554216867469879</v>
      </c>
    </row>
    <row r="5" spans="1:8" x14ac:dyDescent="0.35">
      <c r="A5" s="1" t="s">
        <v>4</v>
      </c>
      <c r="B5" s="2">
        <v>1</v>
      </c>
      <c r="C5" s="2">
        <v>4</v>
      </c>
      <c r="D5" s="2">
        <v>18</v>
      </c>
      <c r="E5" s="2">
        <v>76</v>
      </c>
      <c r="F5" s="2">
        <v>67</v>
      </c>
      <c r="G5" s="3">
        <f t="shared" si="0"/>
        <v>166</v>
      </c>
      <c r="H5" s="5">
        <f>(B5*$B$2+C5*$C$2+D5*$D$2+E5*$E$2+F5*$F$2)/G5</f>
        <v>4.2289156626506026</v>
      </c>
    </row>
    <row r="6" spans="1:8" x14ac:dyDescent="0.35">
      <c r="A6" s="1" t="s">
        <v>5</v>
      </c>
      <c r="B6" s="2">
        <v>1</v>
      </c>
      <c r="C6" s="2">
        <v>4</v>
      </c>
      <c r="D6" s="2">
        <v>28</v>
      </c>
      <c r="E6" s="2">
        <v>79</v>
      </c>
      <c r="F6" s="2">
        <v>54</v>
      </c>
      <c r="G6" s="3">
        <f t="shared" si="0"/>
        <v>166</v>
      </c>
      <c r="H6" s="5">
        <f>(B6*$B$2+C6*$C$2+D6*$D$2+E6*$E$2+F6*$F$2)/G6</f>
        <v>4.0903614457831328</v>
      </c>
    </row>
    <row r="7" spans="1:8" x14ac:dyDescent="0.35">
      <c r="A7" s="1" t="s">
        <v>6</v>
      </c>
      <c r="B7" s="2">
        <v>1</v>
      </c>
      <c r="C7" s="2">
        <v>3</v>
      </c>
      <c r="D7" s="2">
        <v>13</v>
      </c>
      <c r="E7" s="2">
        <v>87</v>
      </c>
      <c r="F7" s="2">
        <v>62</v>
      </c>
      <c r="G7" s="3">
        <f t="shared" si="0"/>
        <v>166</v>
      </c>
      <c r="H7" s="5">
        <f>(B7*$B$2+C7*$C$2+D7*$D$2+E7*$E$2+F7*$F$2)/G7</f>
        <v>4.2409638554216871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2935-E541-4B2A-9CED-36EC1F3D1769}">
  <dimension ref="A1:H7"/>
  <sheetViews>
    <sheetView workbookViewId="0">
      <selection sqref="A1:H7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7</v>
      </c>
      <c r="B3" s="2">
        <v>9</v>
      </c>
      <c r="C3" s="2">
        <v>44</v>
      </c>
      <c r="D3" s="2">
        <v>37</v>
      </c>
      <c r="E3" s="2">
        <v>46</v>
      </c>
      <c r="F3" s="2">
        <v>30</v>
      </c>
      <c r="G3" s="3">
        <f t="shared" ref="G3:G7" si="0">SUM(B3:F3)</f>
        <v>166</v>
      </c>
      <c r="H3" s="5">
        <f>(B3*$B$2+C3*$C$2+D3*$D$2+E3*$E$2+F3*$F$2)/G3</f>
        <v>3.2650602409638556</v>
      </c>
    </row>
    <row r="4" spans="1:8" x14ac:dyDescent="0.35">
      <c r="A4" s="1" t="s">
        <v>8</v>
      </c>
      <c r="B4" s="2">
        <v>7</v>
      </c>
      <c r="C4" s="2">
        <v>28</v>
      </c>
      <c r="D4" s="2">
        <v>40</v>
      </c>
      <c r="E4" s="2">
        <v>54</v>
      </c>
      <c r="F4" s="2">
        <v>37</v>
      </c>
      <c r="G4" s="3">
        <f t="shared" si="0"/>
        <v>166</v>
      </c>
      <c r="H4" s="5">
        <f>(B4*$B$2+C4*$C$2+D4*$D$2+E4*$E$2+F4*$F$2)/G4</f>
        <v>3.5180722891566263</v>
      </c>
    </row>
    <row r="5" spans="1:8" x14ac:dyDescent="0.35">
      <c r="A5" s="1" t="s">
        <v>9</v>
      </c>
      <c r="B5" s="2">
        <v>17</v>
      </c>
      <c r="C5" s="2">
        <v>44</v>
      </c>
      <c r="D5" s="2">
        <v>30</v>
      </c>
      <c r="E5" s="2">
        <v>45</v>
      </c>
      <c r="F5" s="2">
        <v>30</v>
      </c>
      <c r="G5" s="3">
        <f t="shared" si="0"/>
        <v>166</v>
      </c>
      <c r="H5" s="5">
        <f>(B5*$B$2+C5*$C$2+D5*$D$2+E5*$E$2+F5*$F$2)/G5</f>
        <v>3.1626506024096384</v>
      </c>
    </row>
    <row r="6" spans="1:8" x14ac:dyDescent="0.35">
      <c r="A6" s="1" t="s">
        <v>10</v>
      </c>
      <c r="B6" s="2">
        <v>10</v>
      </c>
      <c r="C6" s="2">
        <v>26</v>
      </c>
      <c r="D6" s="2">
        <v>33</v>
      </c>
      <c r="E6" s="2">
        <v>60</v>
      </c>
      <c r="F6" s="2">
        <v>37</v>
      </c>
      <c r="G6" s="3">
        <f t="shared" si="0"/>
        <v>166</v>
      </c>
      <c r="H6" s="5">
        <f>(B6*$B$2+C6*$C$2+D6*$D$2+E6*$E$2+F6*$F$2)/G6</f>
        <v>3.5301204819277108</v>
      </c>
    </row>
    <row r="7" spans="1:8" x14ac:dyDescent="0.35">
      <c r="A7" s="1" t="s">
        <v>11</v>
      </c>
      <c r="B7" s="2">
        <v>15</v>
      </c>
      <c r="C7" s="2">
        <v>29</v>
      </c>
      <c r="D7" s="2">
        <v>32</v>
      </c>
      <c r="E7" s="2">
        <v>52</v>
      </c>
      <c r="F7" s="2">
        <v>38</v>
      </c>
      <c r="G7" s="3">
        <f t="shared" si="0"/>
        <v>166</v>
      </c>
      <c r="H7" s="5">
        <f>(B7*$B$2+C7*$C$2+D7*$D$2+E7*$E$2+F7*$F$2)/G7</f>
        <v>3.4156626506024095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F772-133D-45EB-A762-C93303113A48}">
  <dimension ref="A1:H7"/>
  <sheetViews>
    <sheetView workbookViewId="0">
      <selection sqref="A1:H7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12</v>
      </c>
      <c r="B3" s="2">
        <v>6</v>
      </c>
      <c r="C3" s="2">
        <v>12</v>
      </c>
      <c r="D3" s="2">
        <v>19</v>
      </c>
      <c r="E3" s="2">
        <v>94</v>
      </c>
      <c r="F3" s="2">
        <v>35</v>
      </c>
      <c r="G3" s="3">
        <f t="shared" ref="G3:G7" si="0">SUM(B3:F3)</f>
        <v>166</v>
      </c>
      <c r="H3" s="5">
        <f>(B3*$B$2+C3*$C$2+D3*$D$2+E3*$E$2+F3*$F$2)/G3</f>
        <v>3.8433734939759034</v>
      </c>
    </row>
    <row r="4" spans="1:8" x14ac:dyDescent="0.35">
      <c r="A4" s="1" t="s">
        <v>13</v>
      </c>
      <c r="B4" s="2">
        <v>4</v>
      </c>
      <c r="C4" s="2">
        <v>6</v>
      </c>
      <c r="D4" s="2">
        <v>19</v>
      </c>
      <c r="E4" s="2">
        <v>81</v>
      </c>
      <c r="F4" s="2">
        <v>56</v>
      </c>
      <c r="G4" s="3">
        <f t="shared" si="0"/>
        <v>166</v>
      </c>
      <c r="H4" s="5">
        <f>(B4*$B$2+C4*$C$2+D4*$D$2+E4*$E$2+F4*$F$2)/G4</f>
        <v>4.0783132530120483</v>
      </c>
    </row>
    <row r="5" spans="1:8" x14ac:dyDescent="0.35">
      <c r="A5" s="1" t="s">
        <v>14</v>
      </c>
      <c r="B5" s="2">
        <v>0</v>
      </c>
      <c r="C5" s="2">
        <v>6</v>
      </c>
      <c r="D5" s="2">
        <v>17</v>
      </c>
      <c r="E5" s="2">
        <v>61</v>
      </c>
      <c r="F5" s="2">
        <v>82</v>
      </c>
      <c r="G5" s="3">
        <f t="shared" si="0"/>
        <v>166</v>
      </c>
      <c r="H5" s="5">
        <f>(B5*$B$2+C5*$C$2+D5*$D$2+E5*$E$2+F5*$F$2)/G5</f>
        <v>4.3192771084337354</v>
      </c>
    </row>
    <row r="6" spans="1:8" x14ac:dyDescent="0.35">
      <c r="A6" s="1" t="s">
        <v>15</v>
      </c>
      <c r="B6" s="2">
        <v>1</v>
      </c>
      <c r="C6" s="2">
        <v>4</v>
      </c>
      <c r="D6" s="2">
        <v>16</v>
      </c>
      <c r="E6" s="2">
        <v>72</v>
      </c>
      <c r="F6" s="2">
        <v>73</v>
      </c>
      <c r="G6" s="3">
        <f t="shared" si="0"/>
        <v>166</v>
      </c>
      <c r="H6" s="5">
        <f>(B6*$B$2+C6*$C$2+D6*$D$2+E6*$E$2+F6*$F$2)/G6</f>
        <v>4.2771084337349397</v>
      </c>
    </row>
    <row r="7" spans="1:8" x14ac:dyDescent="0.35">
      <c r="A7" s="1" t="s">
        <v>16</v>
      </c>
      <c r="B7" s="2">
        <v>1</v>
      </c>
      <c r="C7" s="2">
        <v>2</v>
      </c>
      <c r="D7" s="2">
        <v>14</v>
      </c>
      <c r="E7" s="2">
        <v>72</v>
      </c>
      <c r="F7" s="2">
        <v>77</v>
      </c>
      <c r="G7" s="3">
        <f t="shared" si="0"/>
        <v>166</v>
      </c>
      <c r="H7" s="5">
        <f>(B7*$B$2+C7*$C$2+D7*$D$2+E7*$E$2+F7*$F$2)/G7</f>
        <v>4.3373493975903612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F491-DEDA-45E2-B37B-AF5820FFFAED}">
  <dimension ref="A1:H7"/>
  <sheetViews>
    <sheetView workbookViewId="0">
      <selection sqref="A1:H7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17</v>
      </c>
      <c r="B3" s="2">
        <v>0</v>
      </c>
      <c r="C3" s="2">
        <v>2</v>
      </c>
      <c r="D3" s="2">
        <v>9</v>
      </c>
      <c r="E3" s="2">
        <v>72</v>
      </c>
      <c r="F3" s="2">
        <v>83</v>
      </c>
      <c r="G3" s="3">
        <f t="shared" ref="G3:G7" si="0">SUM(B3:F3)</f>
        <v>166</v>
      </c>
      <c r="H3" s="5">
        <f>(B3*$B$2+C3*$C$2+D3*$D$2+E3*$E$2+F3*$F$2)/G3</f>
        <v>4.4216867469879517</v>
      </c>
    </row>
    <row r="4" spans="1:8" x14ac:dyDescent="0.35">
      <c r="A4" s="1" t="s">
        <v>18</v>
      </c>
      <c r="B4" s="2">
        <v>1</v>
      </c>
      <c r="C4" s="2">
        <v>5</v>
      </c>
      <c r="D4" s="2">
        <v>24</v>
      </c>
      <c r="E4" s="2">
        <v>82</v>
      </c>
      <c r="F4" s="2">
        <v>54</v>
      </c>
      <c r="G4" s="3">
        <f t="shared" si="0"/>
        <v>166</v>
      </c>
      <c r="H4" s="5">
        <f>(B4*$B$2+C4*$C$2+D4*$D$2+E4*$E$2+F4*$F$2)/G4</f>
        <v>4.1024096385542173</v>
      </c>
    </row>
    <row r="5" spans="1:8" x14ac:dyDescent="0.35">
      <c r="A5" s="1" t="s">
        <v>19</v>
      </c>
      <c r="B5" s="2">
        <v>5</v>
      </c>
      <c r="C5" s="2">
        <v>7</v>
      </c>
      <c r="D5" s="2">
        <v>14</v>
      </c>
      <c r="E5" s="2">
        <v>61</v>
      </c>
      <c r="F5" s="2">
        <v>79</v>
      </c>
      <c r="G5" s="3">
        <f t="shared" si="0"/>
        <v>166</v>
      </c>
      <c r="H5" s="5">
        <f>(B5*$B$2+C5*$C$2+D5*$D$2+E5*$E$2+F5*$F$2)/G5</f>
        <v>4.2168674698795181</v>
      </c>
    </row>
    <row r="6" spans="1:8" x14ac:dyDescent="0.35">
      <c r="A6" s="1" t="s">
        <v>20</v>
      </c>
      <c r="B6" s="2">
        <v>2</v>
      </c>
      <c r="C6" s="2">
        <v>8</v>
      </c>
      <c r="D6" s="2">
        <v>28</v>
      </c>
      <c r="E6" s="2">
        <v>71</v>
      </c>
      <c r="F6" s="2">
        <v>57</v>
      </c>
      <c r="G6" s="3">
        <f t="shared" si="0"/>
        <v>166</v>
      </c>
      <c r="H6" s="5">
        <f>(B6*$B$2+C6*$C$2+D6*$D$2+E6*$E$2+F6*$F$2)/G6</f>
        <v>4.0421686746987948</v>
      </c>
    </row>
    <row r="7" spans="1:8" x14ac:dyDescent="0.35">
      <c r="A7" s="1" t="s">
        <v>21</v>
      </c>
      <c r="B7" s="2">
        <v>0</v>
      </c>
      <c r="C7" s="2">
        <v>2</v>
      </c>
      <c r="D7" s="2">
        <v>14</v>
      </c>
      <c r="E7" s="2">
        <v>56</v>
      </c>
      <c r="F7" s="2">
        <v>94</v>
      </c>
      <c r="G7" s="3">
        <f t="shared" si="0"/>
        <v>166</v>
      </c>
      <c r="H7" s="5">
        <f>(B7*$B$2+C7*$C$2+D7*$D$2+E7*$E$2+F7*$F$2)/G7</f>
        <v>4.4578313253012052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7B8E-D1A4-46F2-9318-F8D614DEF10F}">
  <dimension ref="A1:H5"/>
  <sheetViews>
    <sheetView workbookViewId="0">
      <selection sqref="A1:H5"/>
    </sheetView>
  </sheetViews>
  <sheetFormatPr defaultRowHeight="14.5" x14ac:dyDescent="0.35"/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22</v>
      </c>
      <c r="B3" s="2">
        <v>1</v>
      </c>
      <c r="C3" s="2">
        <v>9</v>
      </c>
      <c r="D3" s="2">
        <v>16</v>
      </c>
      <c r="E3" s="2">
        <v>83</v>
      </c>
      <c r="F3" s="2">
        <v>57</v>
      </c>
      <c r="G3" s="3">
        <f t="shared" ref="G3:G5" si="0">SUM(B3:F3)</f>
        <v>166</v>
      </c>
      <c r="H3" s="5">
        <f>(B3*$B$2+C3*$C$2+D3*$D$2+E3*$E$2+F3*$F$2)/G3</f>
        <v>4.1204819277108431</v>
      </c>
    </row>
    <row r="4" spans="1:8" x14ac:dyDescent="0.35">
      <c r="A4" s="1" t="s">
        <v>23</v>
      </c>
      <c r="B4" s="2">
        <v>3</v>
      </c>
      <c r="C4" s="2">
        <v>8</v>
      </c>
      <c r="D4" s="2">
        <v>31</v>
      </c>
      <c r="E4" s="2">
        <v>71</v>
      </c>
      <c r="F4" s="2">
        <v>53</v>
      </c>
      <c r="G4" s="3">
        <f t="shared" si="0"/>
        <v>166</v>
      </c>
      <c r="H4" s="5">
        <f>(B4*$B$2+C4*$C$2+D4*$D$2+E4*$E$2+F4*$F$2)/G4</f>
        <v>3.9819277108433737</v>
      </c>
    </row>
    <row r="5" spans="1:8" x14ac:dyDescent="0.35">
      <c r="A5" s="1" t="s">
        <v>24</v>
      </c>
      <c r="B5" s="2">
        <v>2</v>
      </c>
      <c r="C5" s="2">
        <v>3</v>
      </c>
      <c r="D5" s="2">
        <v>17</v>
      </c>
      <c r="E5" s="2">
        <v>88</v>
      </c>
      <c r="F5" s="2">
        <v>56</v>
      </c>
      <c r="G5" s="3">
        <f t="shared" si="0"/>
        <v>166</v>
      </c>
      <c r="H5" s="5">
        <f>(B5*$B$2+C5*$C$2+D5*$D$2+E5*$E$2+F5*$F$2)/G5</f>
        <v>4.1626506024096388</v>
      </c>
    </row>
  </sheetData>
  <mergeCells count="4">
    <mergeCell ref="A1:A2"/>
    <mergeCell ref="B1:F1"/>
    <mergeCell ref="G1:G2"/>
    <mergeCell ref="H1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B847-6C96-42BA-A7C7-28C3A68271E5}">
  <dimension ref="A1:H7"/>
  <sheetViews>
    <sheetView workbookViewId="0">
      <selection sqref="A1:H7"/>
    </sheetView>
  </sheetViews>
  <sheetFormatPr defaultRowHeight="14.5" x14ac:dyDescent="0.35"/>
  <cols>
    <col min="1" max="1" width="10" customWidth="1"/>
    <col min="2" max="2" width="3.54296875" customWidth="1"/>
    <col min="3" max="3" width="4" customWidth="1"/>
    <col min="4" max="5" width="4.1796875" customWidth="1"/>
    <col min="6" max="6" width="4.36328125" customWidth="1"/>
    <col min="7" max="7" width="4.81640625" bestFit="1" customWidth="1"/>
    <col min="8" max="8" width="8.54296875" customWidth="1"/>
  </cols>
  <sheetData>
    <row r="1" spans="1:8" ht="22" customHeight="1" x14ac:dyDescent="0.35">
      <c r="A1" s="6" t="s">
        <v>33</v>
      </c>
      <c r="B1" s="7" t="s">
        <v>32</v>
      </c>
      <c r="C1" s="7"/>
      <c r="D1" s="7"/>
      <c r="E1" s="7"/>
      <c r="F1" s="7"/>
      <c r="G1" s="8" t="s">
        <v>30</v>
      </c>
      <c r="H1" s="9" t="s">
        <v>31</v>
      </c>
    </row>
    <row r="2" spans="1:8" ht="22.5" customHeight="1" x14ac:dyDescent="0.35">
      <c r="A2" s="6"/>
      <c r="B2" s="4">
        <v>1</v>
      </c>
      <c r="C2" s="4">
        <v>2</v>
      </c>
      <c r="D2" s="4">
        <v>3</v>
      </c>
      <c r="E2" s="4">
        <v>4</v>
      </c>
      <c r="F2" s="4">
        <v>5</v>
      </c>
      <c r="G2" s="8"/>
      <c r="H2" s="9"/>
    </row>
    <row r="3" spans="1:8" x14ac:dyDescent="0.35">
      <c r="A3" s="1" t="s">
        <v>25</v>
      </c>
      <c r="B3" s="2">
        <v>0</v>
      </c>
      <c r="C3" s="2">
        <v>11</v>
      </c>
      <c r="D3" s="2">
        <v>18</v>
      </c>
      <c r="E3" s="2">
        <v>87</v>
      </c>
      <c r="F3" s="2">
        <v>50</v>
      </c>
      <c r="G3" s="3">
        <f t="shared" ref="G3:G7" si="0">SUM(B3:F3)</f>
        <v>166</v>
      </c>
      <c r="H3" s="5">
        <f>(B3*$B$2+C3*$C$2+D3*$D$2+E3*$E$2+F3*$F$2)/G3</f>
        <v>4.0602409638554215</v>
      </c>
    </row>
    <row r="4" spans="1:8" x14ac:dyDescent="0.35">
      <c r="A4" s="1" t="s">
        <v>26</v>
      </c>
      <c r="B4" s="2">
        <v>1</v>
      </c>
      <c r="C4" s="2">
        <v>3</v>
      </c>
      <c r="D4" s="2">
        <v>20</v>
      </c>
      <c r="E4" s="2">
        <v>88</v>
      </c>
      <c r="F4" s="2">
        <v>54</v>
      </c>
      <c r="G4" s="3">
        <f t="shared" si="0"/>
        <v>166</v>
      </c>
      <c r="H4" s="5">
        <f>(B4*$B$2+C4*$C$2+D4*$D$2+E4*$E$2+F4*$F$2)/G4</f>
        <v>4.1506024096385543</v>
      </c>
    </row>
    <row r="5" spans="1:8" x14ac:dyDescent="0.35">
      <c r="A5" s="1" t="s">
        <v>27</v>
      </c>
      <c r="B5" s="2">
        <v>0</v>
      </c>
      <c r="C5" s="2">
        <v>6</v>
      </c>
      <c r="D5" s="2">
        <v>15</v>
      </c>
      <c r="E5" s="2">
        <v>64</v>
      </c>
      <c r="F5" s="2">
        <v>81</v>
      </c>
      <c r="G5" s="3">
        <f t="shared" si="0"/>
        <v>166</v>
      </c>
      <c r="H5" s="5">
        <f>(B5*$B$2+C5*$C$2+D5*$D$2+E5*$E$2+F5*$F$2)/G5</f>
        <v>4.3253012048192767</v>
      </c>
    </row>
    <row r="6" spans="1:8" x14ac:dyDescent="0.35">
      <c r="A6" s="1" t="s">
        <v>28</v>
      </c>
      <c r="B6" s="2">
        <v>0</v>
      </c>
      <c r="C6" s="2">
        <v>4</v>
      </c>
      <c r="D6" s="2">
        <v>12</v>
      </c>
      <c r="E6" s="2">
        <v>69</v>
      </c>
      <c r="F6" s="2">
        <v>81</v>
      </c>
      <c r="G6" s="3">
        <f t="shared" si="0"/>
        <v>166</v>
      </c>
      <c r="H6" s="5">
        <f>(B6*$B$2+C6*$C$2+D6*$D$2+E6*$E$2+F6*$F$2)/G6</f>
        <v>4.3674698795180724</v>
      </c>
    </row>
    <row r="7" spans="1:8" x14ac:dyDescent="0.35">
      <c r="A7" s="1" t="s">
        <v>29</v>
      </c>
      <c r="B7" s="2">
        <v>0</v>
      </c>
      <c r="C7" s="2">
        <v>4</v>
      </c>
      <c r="D7" s="2">
        <v>14</v>
      </c>
      <c r="E7" s="2">
        <v>76</v>
      </c>
      <c r="F7" s="2">
        <v>72</v>
      </c>
      <c r="G7" s="3">
        <f t="shared" si="0"/>
        <v>166</v>
      </c>
      <c r="H7" s="5">
        <f>(B7*$B$2+C7*$C$2+D7*$D$2+E7*$E$2+F7*$F$2)/G7</f>
        <v>4.3012048192771086</v>
      </c>
    </row>
  </sheetData>
  <mergeCells count="4">
    <mergeCell ref="B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</vt:lpstr>
      <vt:lpstr>AT</vt:lpstr>
      <vt:lpstr>DC</vt:lpstr>
      <vt:lpstr>SN</vt:lpstr>
      <vt:lpstr>PBC</vt:lpstr>
      <vt:lpstr>P</vt:lpstr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2025-06-15T12:01:28Z</dcterms:created>
  <dcterms:modified xsi:type="dcterms:W3CDTF">2025-06-15T13:33:36Z</dcterms:modified>
</cp:coreProperties>
</file>